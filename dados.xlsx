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reu\Downloads\"/>
    </mc:Choice>
  </mc:AlternateContent>
  <xr:revisionPtr revIDLastSave="0" documentId="13_ncr:1_{4A5740A5-392B-49E6-ACAD-82A72B995AFB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dados" sheetId="1" r:id="rId1"/>
    <sheet name="Gráfic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2" l="1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</calcChain>
</file>

<file path=xl/sharedStrings.xml><?xml version="1.0" encoding="utf-8"?>
<sst xmlns="http://schemas.openxmlformats.org/spreadsheetml/2006/main" count="43" uniqueCount="25">
  <si>
    <t>N</t>
  </si>
  <si>
    <t>Np,nc</t>
  </si>
  <si>
    <t>tempo_medio</t>
  </si>
  <si>
    <t>1,1</t>
  </si>
  <si>
    <t>1,2</t>
  </si>
  <si>
    <t>1,4</t>
  </si>
  <si>
    <t>1,8</t>
  </si>
  <si>
    <t>1,16</t>
  </si>
  <si>
    <t>2,1</t>
  </si>
  <si>
    <t>4,1</t>
  </si>
  <si>
    <t>8,1</t>
  </si>
  <si>
    <t>16,1</t>
  </si>
  <si>
    <t>Np_Nc</t>
  </si>
  <si>
    <t>N = 2</t>
  </si>
  <si>
    <t>N = 8</t>
  </si>
  <si>
    <t>N = 32</t>
  </si>
  <si>
    <t>(1, 1)</t>
  </si>
  <si>
    <t>(1, 2)</t>
  </si>
  <si>
    <t>(1, 4)</t>
  </si>
  <si>
    <t>(1, 8)</t>
  </si>
  <si>
    <t>(1, 16)</t>
  </si>
  <si>
    <t>(2, 1)</t>
  </si>
  <si>
    <t>(4, 1)</t>
  </si>
  <si>
    <t>(8, 1)</t>
  </si>
  <si>
    <t>(16, 1)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</si>
</sst>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Gráfico1 Tempo Médio vs (Np, Nc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444746"/>
                </a:solidFill>
                <a:latin typeface="+mn-lt"/>
              </a:defRPr>
            </a:pPr>
            <a:r>
              <a:rPr lang="pt-BR" sz="1600" b="0">
                <a:solidFill>
                  <a:srgbClr val="444746"/>
                </a:solidFill>
                <a:latin typeface="+mn-lt"/>
              </a:rPr>
              <a:t>Tempo Médio vs (Np, Nc)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Gráfico1!$B$3</c:f>
              <c:strCache>
                <c:ptCount val="1"/>
                <c:pt idx="0">
                  <c:v>N = 2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Gráfico1!$A$4:$A$12</c:f>
              <c:strCache>
                <c:ptCount val="9"/>
                <c:pt idx="0">
                  <c:v>(1, 1)</c:v>
                </c:pt>
                <c:pt idx="1">
                  <c:v>(1, 2)</c:v>
                </c:pt>
                <c:pt idx="2">
                  <c:v>(1, 4)</c:v>
                </c:pt>
                <c:pt idx="3">
                  <c:v>(1, 8)</c:v>
                </c:pt>
                <c:pt idx="4">
                  <c:v>(1, 16)</c:v>
                </c:pt>
                <c:pt idx="5">
                  <c:v>(2, 1)</c:v>
                </c:pt>
                <c:pt idx="6">
                  <c:v>(4, 1)</c:v>
                </c:pt>
                <c:pt idx="7">
                  <c:v>(8, 1)</c:v>
                </c:pt>
                <c:pt idx="8">
                  <c:v>(16, 1)</c:v>
                </c:pt>
              </c:strCache>
            </c:strRef>
          </c:cat>
          <c:val>
            <c:numRef>
              <c:f>Gráfico1!$B$4:$B$12</c:f>
              <c:numCache>
                <c:formatCode>General</c:formatCode>
                <c:ptCount val="9"/>
                <c:pt idx="0">
                  <c:v>0.126168</c:v>
                </c:pt>
                <c:pt idx="1">
                  <c:v>5.9152999999999997E-2</c:v>
                </c:pt>
                <c:pt idx="2">
                  <c:v>6.4753000000000005E-2</c:v>
                </c:pt>
                <c:pt idx="3">
                  <c:v>6.5237000000000003E-2</c:v>
                </c:pt>
                <c:pt idx="4">
                  <c:v>6.5254000000000006E-2</c:v>
                </c:pt>
                <c:pt idx="5">
                  <c:v>6.7109000000000002E-2</c:v>
                </c:pt>
                <c:pt idx="6">
                  <c:v>6.8668999999999994E-2</c:v>
                </c:pt>
                <c:pt idx="7">
                  <c:v>6.8368999999999999E-2</c:v>
                </c:pt>
                <c:pt idx="8">
                  <c:v>6.9198999999999997E-2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F-4F80-A23F-4116E0544A48}"/>
            </c:ext>
          </c:extLst>
        </c:ser>
        <c:ser>
          <c:idx val="1"/>
          <c:order val="1"/>
          <c:tx>
            <c:strRef>
              <c:f>Gráfico1!$C$3</c:f>
              <c:strCache>
                <c:ptCount val="1"/>
                <c:pt idx="0">
                  <c:v>N = 8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Gráfico1!$A$4:$A$12</c:f>
              <c:strCache>
                <c:ptCount val="9"/>
                <c:pt idx="0">
                  <c:v>(1, 1)</c:v>
                </c:pt>
                <c:pt idx="1">
                  <c:v>(1, 2)</c:v>
                </c:pt>
                <c:pt idx="2">
                  <c:v>(1, 4)</c:v>
                </c:pt>
                <c:pt idx="3">
                  <c:v>(1, 8)</c:v>
                </c:pt>
                <c:pt idx="4">
                  <c:v>(1, 16)</c:v>
                </c:pt>
                <c:pt idx="5">
                  <c:v>(2, 1)</c:v>
                </c:pt>
                <c:pt idx="6">
                  <c:v>(4, 1)</c:v>
                </c:pt>
                <c:pt idx="7">
                  <c:v>(8, 1)</c:v>
                </c:pt>
                <c:pt idx="8">
                  <c:v>(16, 1)</c:v>
                </c:pt>
              </c:strCache>
            </c:strRef>
          </c:cat>
          <c:val>
            <c:numRef>
              <c:f>Gráfico1!$C$4:$C$12</c:f>
              <c:numCache>
                <c:formatCode>General</c:formatCode>
                <c:ptCount val="9"/>
                <c:pt idx="0">
                  <c:v>2.2370999999999999E-2</c:v>
                </c:pt>
                <c:pt idx="1">
                  <c:v>1.9890000000000001E-2</c:v>
                </c:pt>
                <c:pt idx="2">
                  <c:v>6.2661999999999995E-2</c:v>
                </c:pt>
                <c:pt idx="3">
                  <c:v>6.3196000000000002E-2</c:v>
                </c:pt>
                <c:pt idx="4">
                  <c:v>6.3524999999999998E-2</c:v>
                </c:pt>
                <c:pt idx="5">
                  <c:v>3.3937000000000002E-2</c:v>
                </c:pt>
                <c:pt idx="6">
                  <c:v>6.7466999999999999E-2</c:v>
                </c:pt>
                <c:pt idx="7">
                  <c:v>6.7579E-2</c:v>
                </c:pt>
                <c:pt idx="8">
                  <c:v>6.8122000000000002E-2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6F-4F80-A23F-4116E0544A48}"/>
            </c:ext>
          </c:extLst>
        </c:ser>
        <c:ser>
          <c:idx val="2"/>
          <c:order val="2"/>
          <c:tx>
            <c:strRef>
              <c:f>Gráfico1!$D$3</c:f>
              <c:strCache>
                <c:ptCount val="1"/>
                <c:pt idx="0">
                  <c:v>N = 32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Gráfico1!$A$4:$A$12</c:f>
              <c:strCache>
                <c:ptCount val="9"/>
                <c:pt idx="0">
                  <c:v>(1, 1)</c:v>
                </c:pt>
                <c:pt idx="1">
                  <c:v>(1, 2)</c:v>
                </c:pt>
                <c:pt idx="2">
                  <c:v>(1, 4)</c:v>
                </c:pt>
                <c:pt idx="3">
                  <c:v>(1, 8)</c:v>
                </c:pt>
                <c:pt idx="4">
                  <c:v>(1, 16)</c:v>
                </c:pt>
                <c:pt idx="5">
                  <c:v>(2, 1)</c:v>
                </c:pt>
                <c:pt idx="6">
                  <c:v>(4, 1)</c:v>
                </c:pt>
                <c:pt idx="7">
                  <c:v>(8, 1)</c:v>
                </c:pt>
                <c:pt idx="8">
                  <c:v>(16, 1)</c:v>
                </c:pt>
              </c:strCache>
            </c:strRef>
          </c:cat>
          <c:val>
            <c:numRef>
              <c:f>Gráfico1!$D$4:$D$12</c:f>
              <c:numCache>
                <c:formatCode>General</c:formatCode>
                <c:ptCount val="9"/>
                <c:pt idx="0">
                  <c:v>8.6529999999999992E-3</c:v>
                </c:pt>
                <c:pt idx="1">
                  <c:v>7.4520000000000003E-3</c:v>
                </c:pt>
                <c:pt idx="2">
                  <c:v>5.8160000000000003E-2</c:v>
                </c:pt>
                <c:pt idx="3">
                  <c:v>6.2686000000000006E-2</c:v>
                </c:pt>
                <c:pt idx="4">
                  <c:v>6.5520999999999996E-2</c:v>
                </c:pt>
                <c:pt idx="5">
                  <c:v>2.6544000000000002E-2</c:v>
                </c:pt>
                <c:pt idx="6">
                  <c:v>7.0542999999999995E-2</c:v>
                </c:pt>
                <c:pt idx="7">
                  <c:v>6.8053000000000002E-2</c:v>
                </c:pt>
                <c:pt idx="8">
                  <c:v>6.7659999999999998E-2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6F-4F80-A23F-4116E0544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135359"/>
        <c:axId val="1793526208"/>
      </c:lineChart>
      <c:catAx>
        <c:axId val="1333135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Configuração (Np, Nc)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93526208"/>
        <c:crosses val="autoZero"/>
        <c:auto val="1"/>
        <c:lblAlgn val="ctr"/>
        <c:lblOffset val="100"/>
        <c:noMultiLvlLbl val="1"/>
      </c:catAx>
      <c:valAx>
        <c:axId val="1793526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Tempo Médio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3313535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0" cy="67532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o_Médio_vs_Np_Nc_" displayName="Tempo_Médio_vs_Np_Nc_" ref="A3:D12">
  <tableColumns count="4">
    <tableColumn id="1" xr3:uid="{00000000-0010-0000-0000-000001000000}" name="Np_Nc"/>
    <tableColumn id="2" xr3:uid="{00000000-0010-0000-0000-000002000000}" name="N = 2"/>
    <tableColumn id="3" xr3:uid="{00000000-0010-0000-0000-000003000000}" name="N = 8"/>
    <tableColumn id="4" xr3:uid="{00000000-0010-0000-0000-000004000000}" name="N = 32"/>
  </tableColumns>
  <tableStyleInfo name="Gráfico1 Tempo Médio vs (Np, N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8"/>
  <sheetViews>
    <sheetView tabSelected="1" workbookViewId="0"/>
  </sheetViews>
  <sheetFormatPr defaultColWidth="12.5703125" defaultRowHeight="15.75" customHeight="1" x14ac:dyDescent="0.2"/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1">
        <v>2</v>
      </c>
      <c r="B2" s="3" t="s">
        <v>3</v>
      </c>
      <c r="C2" s="1">
        <v>0.126168</v>
      </c>
    </row>
    <row r="3" spans="1:3" x14ac:dyDescent="0.2">
      <c r="A3" s="1">
        <v>2</v>
      </c>
      <c r="B3" s="3" t="s">
        <v>4</v>
      </c>
      <c r="C3" s="1">
        <v>5.9152999999999997E-2</v>
      </c>
    </row>
    <row r="4" spans="1:3" x14ac:dyDescent="0.2">
      <c r="A4" s="1">
        <v>2</v>
      </c>
      <c r="B4" s="3" t="s">
        <v>5</v>
      </c>
      <c r="C4" s="1">
        <v>6.4753000000000005E-2</v>
      </c>
    </row>
    <row r="5" spans="1:3" x14ac:dyDescent="0.2">
      <c r="A5" s="1">
        <v>2</v>
      </c>
      <c r="B5" s="3" t="s">
        <v>6</v>
      </c>
      <c r="C5" s="1">
        <v>6.5237000000000003E-2</v>
      </c>
    </row>
    <row r="6" spans="1:3" x14ac:dyDescent="0.2">
      <c r="A6" s="1">
        <v>2</v>
      </c>
      <c r="B6" s="2" t="s">
        <v>7</v>
      </c>
      <c r="C6" s="1">
        <v>6.5254000000000006E-2</v>
      </c>
    </row>
    <row r="7" spans="1:3" x14ac:dyDescent="0.2">
      <c r="A7" s="1">
        <v>2</v>
      </c>
      <c r="B7" s="3" t="s">
        <v>8</v>
      </c>
      <c r="C7" s="1">
        <v>6.7109000000000002E-2</v>
      </c>
    </row>
    <row r="8" spans="1:3" x14ac:dyDescent="0.2">
      <c r="A8" s="1">
        <v>2</v>
      </c>
      <c r="B8" s="3" t="s">
        <v>9</v>
      </c>
      <c r="C8" s="1">
        <v>6.8668999999999994E-2</v>
      </c>
    </row>
    <row r="9" spans="1:3" x14ac:dyDescent="0.2">
      <c r="A9" s="1">
        <v>2</v>
      </c>
      <c r="B9" s="3" t="s">
        <v>10</v>
      </c>
      <c r="C9" s="1">
        <v>6.8368999999999999E-2</v>
      </c>
    </row>
    <row r="10" spans="1:3" x14ac:dyDescent="0.2">
      <c r="A10" s="1">
        <v>2</v>
      </c>
      <c r="B10" s="3" t="s">
        <v>11</v>
      </c>
      <c r="C10" s="1">
        <v>6.9198999999999997E-2</v>
      </c>
    </row>
    <row r="11" spans="1:3" x14ac:dyDescent="0.2">
      <c r="A11" s="1">
        <v>8</v>
      </c>
      <c r="B11" s="3" t="s">
        <v>3</v>
      </c>
      <c r="C11" s="1">
        <v>2.2370999999999999E-2</v>
      </c>
    </row>
    <row r="12" spans="1:3" x14ac:dyDescent="0.2">
      <c r="A12" s="1">
        <v>8</v>
      </c>
      <c r="B12" s="3" t="s">
        <v>4</v>
      </c>
      <c r="C12" s="1">
        <v>1.9890000000000001E-2</v>
      </c>
    </row>
    <row r="13" spans="1:3" x14ac:dyDescent="0.2">
      <c r="A13" s="1">
        <v>8</v>
      </c>
      <c r="B13" s="3" t="s">
        <v>5</v>
      </c>
      <c r="C13" s="1">
        <v>6.2661999999999995E-2</v>
      </c>
    </row>
    <row r="14" spans="1:3" x14ac:dyDescent="0.2">
      <c r="A14" s="1">
        <v>8</v>
      </c>
      <c r="B14" s="3" t="s">
        <v>6</v>
      </c>
      <c r="C14" s="1">
        <v>6.3196000000000002E-2</v>
      </c>
    </row>
    <row r="15" spans="1:3" x14ac:dyDescent="0.2">
      <c r="A15" s="1">
        <v>8</v>
      </c>
      <c r="B15" s="2" t="s">
        <v>7</v>
      </c>
      <c r="C15" s="1">
        <v>6.3524999999999998E-2</v>
      </c>
    </row>
    <row r="16" spans="1:3" x14ac:dyDescent="0.2">
      <c r="A16" s="1">
        <v>8</v>
      </c>
      <c r="B16" s="3" t="s">
        <v>8</v>
      </c>
      <c r="C16" s="1">
        <v>3.3937000000000002E-2</v>
      </c>
    </row>
    <row r="17" spans="1:3" x14ac:dyDescent="0.2">
      <c r="A17" s="1">
        <v>8</v>
      </c>
      <c r="B17" s="3" t="s">
        <v>9</v>
      </c>
      <c r="C17" s="1">
        <v>6.7466999999999999E-2</v>
      </c>
    </row>
    <row r="18" spans="1:3" x14ac:dyDescent="0.2">
      <c r="A18" s="1">
        <v>8</v>
      </c>
      <c r="B18" s="3" t="s">
        <v>10</v>
      </c>
      <c r="C18" s="1">
        <v>6.7579E-2</v>
      </c>
    </row>
    <row r="19" spans="1:3" x14ac:dyDescent="0.2">
      <c r="A19" s="1">
        <v>8</v>
      </c>
      <c r="B19" s="3" t="s">
        <v>11</v>
      </c>
      <c r="C19" s="1">
        <v>6.8122000000000002E-2</v>
      </c>
    </row>
    <row r="20" spans="1:3" x14ac:dyDescent="0.2">
      <c r="A20" s="1">
        <v>32</v>
      </c>
      <c r="B20" s="3" t="s">
        <v>3</v>
      </c>
      <c r="C20" s="1">
        <v>8.6529999999999992E-3</v>
      </c>
    </row>
    <row r="21" spans="1:3" x14ac:dyDescent="0.2">
      <c r="A21" s="1">
        <v>32</v>
      </c>
      <c r="B21" s="3" t="s">
        <v>4</v>
      </c>
      <c r="C21" s="1">
        <v>7.4520000000000003E-3</v>
      </c>
    </row>
    <row r="22" spans="1:3" x14ac:dyDescent="0.2">
      <c r="A22" s="1">
        <v>32</v>
      </c>
      <c r="B22" s="3" t="s">
        <v>5</v>
      </c>
      <c r="C22" s="1">
        <v>5.8160000000000003E-2</v>
      </c>
    </row>
    <row r="23" spans="1:3" x14ac:dyDescent="0.2">
      <c r="A23" s="1">
        <v>32</v>
      </c>
      <c r="B23" s="3" t="s">
        <v>6</v>
      </c>
      <c r="C23" s="1">
        <v>6.2686000000000006E-2</v>
      </c>
    </row>
    <row r="24" spans="1:3" x14ac:dyDescent="0.2">
      <c r="A24" s="1">
        <v>32</v>
      </c>
      <c r="B24" s="2" t="s">
        <v>7</v>
      </c>
      <c r="C24" s="1">
        <v>6.5520999999999996E-2</v>
      </c>
    </row>
    <row r="25" spans="1:3" x14ac:dyDescent="0.2">
      <c r="A25" s="1">
        <v>32</v>
      </c>
      <c r="B25" s="3" t="s">
        <v>8</v>
      </c>
      <c r="C25" s="1">
        <v>2.6544000000000002E-2</v>
      </c>
    </row>
    <row r="26" spans="1:3" x14ac:dyDescent="0.2">
      <c r="A26" s="1">
        <v>32</v>
      </c>
      <c r="B26" s="3" t="s">
        <v>9</v>
      </c>
      <c r="C26" s="1">
        <v>7.0542999999999995E-2</v>
      </c>
    </row>
    <row r="27" spans="1:3" x14ac:dyDescent="0.2">
      <c r="A27" s="1">
        <v>32</v>
      </c>
      <c r="B27" s="3" t="s">
        <v>10</v>
      </c>
      <c r="C27" s="1">
        <v>6.8053000000000002E-2</v>
      </c>
    </row>
    <row r="28" spans="1:3" x14ac:dyDescent="0.2">
      <c r="A28" s="1">
        <v>32</v>
      </c>
      <c r="B28" s="3" t="s">
        <v>11</v>
      </c>
      <c r="C28" s="1">
        <v>6.7659999999999998E-2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2"/>
  <sheetViews>
    <sheetView workbookViewId="0"/>
  </sheetViews>
  <sheetFormatPr defaultColWidth="12.5703125" defaultRowHeight="15.75" customHeight="1" x14ac:dyDescent="0.2"/>
  <cols>
    <col min="1" max="4" width="12.5703125" customWidth="1"/>
  </cols>
  <sheetData>
    <row r="1" spans="1:4" ht="225" customHeight="1" x14ac:dyDescent="0.2"/>
    <row r="3" spans="1:4" ht="22.5" customHeight="1" x14ac:dyDescent="0.2">
      <c r="A3" s="4" t="s">
        <v>12</v>
      </c>
      <c r="B3" s="4" t="s">
        <v>13</v>
      </c>
      <c r="C3" s="4" t="s">
        <v>14</v>
      </c>
      <c r="D3" s="4" t="s">
        <v>15</v>
      </c>
    </row>
    <row r="4" spans="1:4" ht="22.5" customHeight="1" x14ac:dyDescent="0.2">
      <c r="A4" s="5" t="s">
        <v>16</v>
      </c>
      <c r="B4" s="6">
        <f>dados!C2</f>
        <v>0.126168</v>
      </c>
      <c r="C4" s="6">
        <f>dados!C11</f>
        <v>2.2370999999999999E-2</v>
      </c>
      <c r="D4" s="6">
        <f>dados!C20</f>
        <v>8.6529999999999992E-3</v>
      </c>
    </row>
    <row r="5" spans="1:4" ht="22.5" customHeight="1" x14ac:dyDescent="0.2">
      <c r="A5" s="5" t="s">
        <v>17</v>
      </c>
      <c r="B5" s="6">
        <f>dados!C3</f>
        <v>5.9152999999999997E-2</v>
      </c>
      <c r="C5" s="6">
        <f>dados!C12</f>
        <v>1.9890000000000001E-2</v>
      </c>
      <c r="D5" s="6">
        <f>dados!C21</f>
        <v>7.4520000000000003E-3</v>
      </c>
    </row>
    <row r="6" spans="1:4" ht="22.5" customHeight="1" x14ac:dyDescent="0.2">
      <c r="A6" s="5" t="s">
        <v>18</v>
      </c>
      <c r="B6" s="6">
        <f>dados!C4</f>
        <v>6.4753000000000005E-2</v>
      </c>
      <c r="C6" s="6">
        <f>dados!C13</f>
        <v>6.2661999999999995E-2</v>
      </c>
      <c r="D6" s="6">
        <f>dados!C22</f>
        <v>5.8160000000000003E-2</v>
      </c>
    </row>
    <row r="7" spans="1:4" ht="22.5" customHeight="1" x14ac:dyDescent="0.2">
      <c r="A7" s="5" t="s">
        <v>19</v>
      </c>
      <c r="B7" s="6">
        <f>dados!C5</f>
        <v>6.5237000000000003E-2</v>
      </c>
      <c r="C7" s="6">
        <f>dados!C14</f>
        <v>6.3196000000000002E-2</v>
      </c>
      <c r="D7" s="6">
        <f>dados!C23</f>
        <v>6.2686000000000006E-2</v>
      </c>
    </row>
    <row r="8" spans="1:4" ht="22.5" customHeight="1" x14ac:dyDescent="0.2">
      <c r="A8" s="5" t="s">
        <v>20</v>
      </c>
      <c r="B8" s="6">
        <f>dados!C6</f>
        <v>6.5254000000000006E-2</v>
      </c>
      <c r="C8" s="6">
        <f>dados!C15</f>
        <v>6.3524999999999998E-2</v>
      </c>
      <c r="D8" s="6">
        <f>dados!C24</f>
        <v>6.5520999999999996E-2</v>
      </c>
    </row>
    <row r="9" spans="1:4" ht="22.5" customHeight="1" x14ac:dyDescent="0.2">
      <c r="A9" s="5" t="s">
        <v>21</v>
      </c>
      <c r="B9" s="6">
        <f>dados!C7</f>
        <v>6.7109000000000002E-2</v>
      </c>
      <c r="C9" s="6">
        <f>dados!C16</f>
        <v>3.3937000000000002E-2</v>
      </c>
      <c r="D9" s="6">
        <f>dados!C25</f>
        <v>2.6544000000000002E-2</v>
      </c>
    </row>
    <row r="10" spans="1:4" ht="22.5" customHeight="1" x14ac:dyDescent="0.2">
      <c r="A10" s="5" t="s">
        <v>22</v>
      </c>
      <c r="B10" s="6">
        <f>dados!C8</f>
        <v>6.8668999999999994E-2</v>
      </c>
      <c r="C10" s="6">
        <f>dados!C17</f>
        <v>6.7466999999999999E-2</v>
      </c>
      <c r="D10" s="6">
        <f>dados!C26</f>
        <v>7.0542999999999995E-2</v>
      </c>
    </row>
    <row r="11" spans="1:4" ht="22.5" customHeight="1" x14ac:dyDescent="0.2">
      <c r="A11" s="5" t="s">
        <v>23</v>
      </c>
      <c r="B11" s="6">
        <f>dados!C9</f>
        <v>6.8368999999999999E-2</v>
      </c>
      <c r="C11" s="6">
        <f>dados!C18</f>
        <v>6.7579E-2</v>
      </c>
      <c r="D11" s="6">
        <f>dados!C27</f>
        <v>6.8053000000000002E-2</v>
      </c>
    </row>
    <row r="12" spans="1:4" ht="22.5" customHeight="1" x14ac:dyDescent="0.2">
      <c r="A12" s="5" t="s">
        <v>24</v>
      </c>
      <c r="B12" s="6">
        <f>dados!C10</f>
        <v>6.9198999999999997E-2</v>
      </c>
      <c r="C12" s="6">
        <f>dados!C19</f>
        <v>6.8122000000000002E-2</v>
      </c>
      <c r="D12" s="6">
        <f>dados!C28</f>
        <v>6.7659999999999998E-2</v>
      </c>
    </row>
  </sheetData>
  <dataValidations count="1">
    <dataValidation type="custom" allowBlank="1" showDropDown="1" sqref="B4:D12" xr:uid="{00000000-0002-0000-0100-000000000000}">
      <formula1>AND(ISNUMBER(B4),(NOT(OR(NOT(ISERROR(DATEVALUE(B4))), AND(ISNUMBER(B4), LEFT(CELL("format", B4))="D")))))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Abreu</cp:lastModifiedBy>
  <dcterms:modified xsi:type="dcterms:W3CDTF">2026-09-08T23:48:44Z</dcterms:modified>
</cp:coreProperties>
</file>